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Project_material\"/>
    </mc:Choice>
  </mc:AlternateContent>
  <xr:revisionPtr revIDLastSave="0" documentId="13_ncr:1_{A33E1E91-FA1C-4AD5-BF19-5F0D71DCF4C6}" xr6:coauthVersionLast="47" xr6:coauthVersionMax="47" xr10:uidLastSave="{00000000-0000-0000-0000-000000000000}"/>
  <bookViews>
    <workbookView xWindow="-120" yWindow="-120" windowWidth="29040" windowHeight="15720" xr2:uid="{DEA7497E-557C-4047-B86E-DE2281E477F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6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</calcChain>
</file>

<file path=xl/sharedStrings.xml><?xml version="1.0" encoding="utf-8"?>
<sst xmlns="http://schemas.openxmlformats.org/spreadsheetml/2006/main" count="20" uniqueCount="10">
  <si>
    <t>Date</t>
  </si>
  <si>
    <t>Time</t>
  </si>
  <si>
    <t>Temperature</t>
  </si>
  <si>
    <t>Irradiance (Mobile)</t>
  </si>
  <si>
    <t>Irradiance (Internet)</t>
  </si>
  <si>
    <t>Power(Measured)</t>
  </si>
  <si>
    <t>Simulated Power (Mobile)</t>
  </si>
  <si>
    <t>Error (Mobile)</t>
  </si>
  <si>
    <t>Simulated Power (Internet)</t>
  </si>
  <si>
    <t>Error (Internet)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</si>
</sst>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40D5-C452-4A57-B028-31A945D9F269}">
  <dimension ref="A4:N50"/>
  <sheetViews>
    <sheetView tabSelected="1" topLeftCell="A20" workbookViewId="0">
      <selection activeCell="D54" sqref="D54"/>
    </sheetView>
  </sheetViews>
  <sheetFormatPr defaultRowHeight="15" x14ac:dyDescent="0.25"/>
  <cols>
    <col min="2" max="2" width="16.5703125" customWidth="1"/>
    <col min="3" max="3" width="19.28515625" customWidth="1"/>
    <col min="4" max="4" width="20" customWidth="1"/>
    <col min="5" max="5" width="12.85546875" customWidth="1"/>
    <col min="6" max="6" width="23.140625" customWidth="1"/>
    <col min="7" max="7" width="13.140625" customWidth="1"/>
    <col min="8" max="8" width="23.7109375" customWidth="1"/>
    <col min="9" max="9" width="14.5703125" customWidth="1"/>
  </cols>
  <sheetData>
    <row r="4" spans="1:14" x14ac:dyDescent="0.25">
      <c r="A4" t="s">
        <v>0</v>
      </c>
      <c r="B4" s="2">
        <v>46114</v>
      </c>
      <c r="C4" s="2"/>
    </row>
    <row r="5" spans="1:14" x14ac:dyDescent="0.25">
      <c r="A5" t="s">
        <v>1</v>
      </c>
      <c r="B5" t="s">
        <v>5</v>
      </c>
      <c r="C5" t="s">
        <v>3</v>
      </c>
      <c r="D5" t="s">
        <v>4</v>
      </c>
      <c r="E5" t="s">
        <v>2</v>
      </c>
      <c r="F5" t="s">
        <v>6</v>
      </c>
      <c r="G5" t="s">
        <v>7</v>
      </c>
      <c r="H5" t="s">
        <v>8</v>
      </c>
      <c r="I5" t="s">
        <v>9</v>
      </c>
    </row>
    <row r="6" spans="1:14" x14ac:dyDescent="0.25">
      <c r="A6" s="1">
        <v>0.47916666666666669</v>
      </c>
      <c r="B6">
        <v>163</v>
      </c>
      <c r="C6">
        <v>610</v>
      </c>
      <c r="D6">
        <v>990</v>
      </c>
      <c r="E6">
        <v>25</v>
      </c>
      <c r="F6">
        <v>161.19999999999999</v>
      </c>
      <c r="G6">
        <f>(B6-F6)/B6 *100</f>
        <v>1.1042944785276143</v>
      </c>
      <c r="H6">
        <v>331.53</v>
      </c>
      <c r="I6">
        <f>B6-H6/B6*100</f>
        <v>-40.392638036809814</v>
      </c>
      <c r="N6" s="1"/>
    </row>
    <row r="7" spans="1:14" x14ac:dyDescent="0.25">
      <c r="A7" s="1">
        <v>0.4861111111111111</v>
      </c>
      <c r="B7">
        <v>168</v>
      </c>
      <c r="C7">
        <v>602</v>
      </c>
      <c r="D7">
        <v>999</v>
      </c>
      <c r="E7">
        <v>25</v>
      </c>
      <c r="F7">
        <v>157.80000000000001</v>
      </c>
      <c r="G7">
        <f>(B7-F7)/B7 *100</f>
        <v>6.0714285714285641</v>
      </c>
      <c r="H7">
        <v>334.78</v>
      </c>
      <c r="I7">
        <f t="shared" ref="I7:I50" si="0">B7-H7/B7*100</f>
        <v>-31.273809523809518</v>
      </c>
    </row>
    <row r="8" spans="1:14" x14ac:dyDescent="0.25">
      <c r="A8" s="1">
        <v>0.49305555555555558</v>
      </c>
      <c r="B8">
        <v>176</v>
      </c>
      <c r="C8">
        <v>655</v>
      </c>
      <c r="D8">
        <v>1006</v>
      </c>
      <c r="E8">
        <v>25</v>
      </c>
      <c r="F8">
        <v>183.1</v>
      </c>
      <c r="G8">
        <f>(B8-F8)/B8 *100</f>
        <v>-4.0340909090909056</v>
      </c>
      <c r="H8">
        <v>337.3</v>
      </c>
      <c r="I8">
        <f t="shared" si="0"/>
        <v>-15.64772727272728</v>
      </c>
    </row>
    <row r="9" spans="1:14" x14ac:dyDescent="0.25">
      <c r="A9" s="1">
        <v>0.5</v>
      </c>
      <c r="B9">
        <v>177</v>
      </c>
      <c r="C9">
        <v>678</v>
      </c>
      <c r="D9">
        <v>1011</v>
      </c>
      <c r="E9">
        <v>25</v>
      </c>
      <c r="F9">
        <v>195</v>
      </c>
      <c r="G9">
        <f>(B9-F9)/B9 *100</f>
        <v>-10.16949152542373</v>
      </c>
      <c r="H9">
        <v>339.09</v>
      </c>
      <c r="I9">
        <f t="shared" si="0"/>
        <v>-14.576271186440664</v>
      </c>
    </row>
    <row r="10" spans="1:14" x14ac:dyDescent="0.25">
      <c r="A10" s="1">
        <v>0.50694444444444398</v>
      </c>
      <c r="B10">
        <v>160</v>
      </c>
      <c r="C10">
        <v>605</v>
      </c>
      <c r="D10">
        <v>1013</v>
      </c>
      <c r="E10">
        <v>25</v>
      </c>
      <c r="F10">
        <v>158.69999999999999</v>
      </c>
      <c r="G10">
        <f>(B10-F10)/B10 *100</f>
        <v>0.81250000000000711</v>
      </c>
      <c r="H10">
        <v>339.57</v>
      </c>
      <c r="I10">
        <f t="shared" si="0"/>
        <v>-52.231250000000017</v>
      </c>
    </row>
    <row r="11" spans="1:14" x14ac:dyDescent="0.25">
      <c r="A11" s="1">
        <v>0.51388888888888895</v>
      </c>
      <c r="B11">
        <v>190</v>
      </c>
      <c r="C11">
        <v>740</v>
      </c>
      <c r="D11">
        <v>1013</v>
      </c>
      <c r="E11">
        <v>25</v>
      </c>
      <c r="F11">
        <v>224</v>
      </c>
      <c r="G11">
        <f>(B11-F11)/B11 *100</f>
        <v>-17.894736842105264</v>
      </c>
      <c r="H11">
        <v>339.57</v>
      </c>
      <c r="I11">
        <f t="shared" si="0"/>
        <v>11.278947368421058</v>
      </c>
    </row>
    <row r="12" spans="1:14" x14ac:dyDescent="0.25">
      <c r="A12" s="1">
        <v>0.52083333333333304</v>
      </c>
      <c r="B12">
        <v>185</v>
      </c>
      <c r="C12">
        <v>710</v>
      </c>
      <c r="D12">
        <v>1010</v>
      </c>
      <c r="E12">
        <v>25</v>
      </c>
      <c r="F12">
        <v>210.4</v>
      </c>
      <c r="G12">
        <f>(B12-F12)/B12 *100</f>
        <v>-13.729729729729733</v>
      </c>
      <c r="H12">
        <v>338.61</v>
      </c>
      <c r="I12">
        <f t="shared" si="0"/>
        <v>1.9675675675675564</v>
      </c>
    </row>
    <row r="13" spans="1:14" x14ac:dyDescent="0.25">
      <c r="A13" s="1">
        <v>0.52777777777777801</v>
      </c>
      <c r="B13">
        <v>186</v>
      </c>
      <c r="C13">
        <v>725</v>
      </c>
      <c r="D13">
        <v>1006</v>
      </c>
      <c r="E13">
        <v>25</v>
      </c>
      <c r="F13">
        <v>217.1</v>
      </c>
      <c r="G13">
        <f>(B13-F13)/B13 *100</f>
        <v>-16.72043010752688</v>
      </c>
      <c r="H13">
        <v>337.3</v>
      </c>
      <c r="I13">
        <f t="shared" si="0"/>
        <v>4.655913978494624</v>
      </c>
    </row>
    <row r="14" spans="1:14" x14ac:dyDescent="0.25">
      <c r="A14" s="1">
        <v>0.53472222222222199</v>
      </c>
      <c r="B14">
        <v>188</v>
      </c>
      <c r="C14">
        <v>765</v>
      </c>
      <c r="D14">
        <v>999</v>
      </c>
      <c r="E14">
        <v>25</v>
      </c>
      <c r="F14">
        <v>236.7</v>
      </c>
      <c r="G14">
        <f>(B14-F14)/B14 *100</f>
        <v>-25.904255319148927</v>
      </c>
      <c r="H14">
        <v>334.78</v>
      </c>
      <c r="I14">
        <f t="shared" si="0"/>
        <v>9.9255319148936394</v>
      </c>
    </row>
    <row r="15" spans="1:14" x14ac:dyDescent="0.25">
      <c r="A15" s="1">
        <v>0.54166666666666696</v>
      </c>
      <c r="B15">
        <v>120</v>
      </c>
      <c r="C15">
        <v>397</v>
      </c>
      <c r="D15">
        <v>950</v>
      </c>
      <c r="E15">
        <v>25</v>
      </c>
      <c r="F15">
        <v>86.06</v>
      </c>
      <c r="G15">
        <f>(B15-F15)/B15 *100</f>
        <v>28.283333333333331</v>
      </c>
      <c r="H15">
        <v>316.39999999999998</v>
      </c>
      <c r="I15">
        <f t="shared" si="0"/>
        <v>-143.66666666666663</v>
      </c>
    </row>
    <row r="16" spans="1:14" x14ac:dyDescent="0.25">
      <c r="A16" s="1">
        <v>0.54861111111111105</v>
      </c>
      <c r="B16">
        <v>180</v>
      </c>
      <c r="C16">
        <v>680</v>
      </c>
      <c r="D16">
        <v>978</v>
      </c>
      <c r="E16">
        <v>26</v>
      </c>
      <c r="F16">
        <v>195.4</v>
      </c>
      <c r="G16">
        <f>(B16-F16)/B16 *100</f>
        <v>-8.5555555555555589</v>
      </c>
      <c r="H16">
        <v>326.07</v>
      </c>
      <c r="I16">
        <f t="shared" si="0"/>
        <v>-1.1499999999999773</v>
      </c>
    </row>
    <row r="17" spans="1:9" x14ac:dyDescent="0.25">
      <c r="A17" s="1">
        <v>0.55555555555555503</v>
      </c>
      <c r="B17">
        <v>186</v>
      </c>
      <c r="C17">
        <v>806</v>
      </c>
      <c r="D17">
        <v>965</v>
      </c>
      <c r="E17">
        <v>26</v>
      </c>
      <c r="F17">
        <v>255.1</v>
      </c>
      <c r="G17">
        <f>(B17-F17)/B17 *100</f>
        <v>-37.1505376344086</v>
      </c>
      <c r="H17">
        <v>321.17</v>
      </c>
      <c r="I17">
        <f t="shared" si="0"/>
        <v>13.327956989247298</v>
      </c>
    </row>
    <row r="18" spans="1:9" x14ac:dyDescent="0.25">
      <c r="A18" s="1">
        <v>0.5625</v>
      </c>
      <c r="B18">
        <v>182</v>
      </c>
      <c r="C18">
        <v>760</v>
      </c>
      <c r="D18">
        <v>949</v>
      </c>
      <c r="E18">
        <v>26</v>
      </c>
      <c r="F18">
        <v>234.5</v>
      </c>
      <c r="G18">
        <f>(B18-F18)/B18 *100</f>
        <v>-28.846153846153843</v>
      </c>
      <c r="H18">
        <v>315.27</v>
      </c>
      <c r="I18">
        <f t="shared" si="0"/>
        <v>8.7747252747252844</v>
      </c>
    </row>
    <row r="19" spans="1:9" x14ac:dyDescent="0.25">
      <c r="A19" s="1">
        <v>0.56944444444444398</v>
      </c>
      <c r="B19">
        <v>173</v>
      </c>
      <c r="C19">
        <v>620</v>
      </c>
      <c r="D19">
        <v>931</v>
      </c>
      <c r="E19">
        <v>26</v>
      </c>
      <c r="F19">
        <v>166.5</v>
      </c>
      <c r="G19">
        <f>(B19-F19)/B19 *100</f>
        <v>3.7572254335260116</v>
      </c>
      <c r="H19">
        <v>308.29000000000002</v>
      </c>
      <c r="I19">
        <f t="shared" si="0"/>
        <v>-5.2023121387283311</v>
      </c>
    </row>
    <row r="20" spans="1:9" x14ac:dyDescent="0.25">
      <c r="A20" s="1">
        <v>0.57638888888888895</v>
      </c>
      <c r="B20">
        <v>174</v>
      </c>
      <c r="C20">
        <v>665</v>
      </c>
      <c r="D20">
        <v>912</v>
      </c>
      <c r="E20">
        <v>26</v>
      </c>
      <c r="F20">
        <v>188.7</v>
      </c>
      <c r="G20">
        <f>(B20-F20)/B20 *100</f>
        <v>-8.4482758620689591</v>
      </c>
      <c r="H20">
        <v>300.39</v>
      </c>
      <c r="I20">
        <f t="shared" si="0"/>
        <v>1.3620689655172384</v>
      </c>
    </row>
    <row r="21" spans="1:9" x14ac:dyDescent="0.25">
      <c r="A21" s="1">
        <v>0.58333333333333304</v>
      </c>
      <c r="B21">
        <v>151</v>
      </c>
      <c r="C21">
        <v>590</v>
      </c>
      <c r="D21">
        <v>867</v>
      </c>
      <c r="E21">
        <v>26</v>
      </c>
      <c r="F21">
        <v>152.6</v>
      </c>
      <c r="G21">
        <f>(B21-F21)/B21 *100</f>
        <v>-1.0596026490066186</v>
      </c>
      <c r="H21">
        <v>281.83</v>
      </c>
      <c r="I21">
        <f t="shared" si="0"/>
        <v>-35.642384105960247</v>
      </c>
    </row>
    <row r="22" spans="1:9" x14ac:dyDescent="0.25">
      <c r="A22" s="1">
        <v>0.59027777777777801</v>
      </c>
      <c r="B22">
        <v>150</v>
      </c>
      <c r="C22">
        <v>504</v>
      </c>
      <c r="D22">
        <v>830</v>
      </c>
      <c r="E22">
        <v>26</v>
      </c>
      <c r="F22">
        <v>119.2</v>
      </c>
      <c r="G22">
        <f>(B22-F22)/B22 *100</f>
        <v>20.533333333333331</v>
      </c>
      <c r="H22">
        <v>266.29000000000002</v>
      </c>
      <c r="I22">
        <f t="shared" si="0"/>
        <v>-27.526666666666671</v>
      </c>
    </row>
    <row r="23" spans="1:9" x14ac:dyDescent="0.25">
      <c r="A23" s="1">
        <v>0.59722222222222199</v>
      </c>
      <c r="B23">
        <v>115</v>
      </c>
      <c r="C23">
        <v>334</v>
      </c>
      <c r="D23">
        <v>755</v>
      </c>
      <c r="E23">
        <v>26</v>
      </c>
      <c r="F23">
        <v>70.45</v>
      </c>
      <c r="G23">
        <f>(B23-F23)/B23 *100</f>
        <v>38.739130434782602</v>
      </c>
      <c r="H23">
        <v>232.29</v>
      </c>
      <c r="I23">
        <f t="shared" si="0"/>
        <v>-86.991304347826087</v>
      </c>
    </row>
    <row r="24" spans="1:9" x14ac:dyDescent="0.25">
      <c r="A24" s="1">
        <v>0.60416666666666696</v>
      </c>
      <c r="B24">
        <v>81</v>
      </c>
      <c r="C24">
        <v>261</v>
      </c>
      <c r="D24">
        <v>642</v>
      </c>
      <c r="E24">
        <v>26</v>
      </c>
      <c r="F24">
        <v>55.78</v>
      </c>
      <c r="G24">
        <f>(B24-F24)/B24 *100</f>
        <v>31.135802469135804</v>
      </c>
      <c r="H24">
        <v>176.84</v>
      </c>
      <c r="I24">
        <f t="shared" si="0"/>
        <v>-137.32098765432099</v>
      </c>
    </row>
    <row r="25" spans="1:9" x14ac:dyDescent="0.25">
      <c r="A25" s="1">
        <v>0.61111111111111105</v>
      </c>
      <c r="B25">
        <v>75</v>
      </c>
      <c r="C25">
        <v>218</v>
      </c>
      <c r="D25">
        <v>605</v>
      </c>
      <c r="E25">
        <v>26</v>
      </c>
      <c r="F25">
        <v>43.88</v>
      </c>
      <c r="G25">
        <f>(B25-F25)/B25 *100</f>
        <v>41.493333333333332</v>
      </c>
      <c r="H25">
        <v>159.79</v>
      </c>
      <c r="I25">
        <f t="shared" si="0"/>
        <v>-138.05333333333331</v>
      </c>
    </row>
    <row r="26" spans="1:9" x14ac:dyDescent="0.25">
      <c r="A26" s="1"/>
    </row>
    <row r="27" spans="1:9" x14ac:dyDescent="0.25">
      <c r="A27" s="1"/>
    </row>
    <row r="28" spans="1:9" x14ac:dyDescent="0.25">
      <c r="A28" t="s">
        <v>0</v>
      </c>
      <c r="B28" s="2">
        <v>46097</v>
      </c>
    </row>
    <row r="29" spans="1:9" x14ac:dyDescent="0.25">
      <c r="A29" t="s">
        <v>1</v>
      </c>
      <c r="B29" t="s">
        <v>5</v>
      </c>
      <c r="C29" t="s">
        <v>3</v>
      </c>
      <c r="D29" t="s">
        <v>4</v>
      </c>
      <c r="E29" t="s">
        <v>2</v>
      </c>
      <c r="F29" t="s">
        <v>6</v>
      </c>
      <c r="G29" t="s">
        <v>7</v>
      </c>
      <c r="H29" t="s">
        <v>8</v>
      </c>
      <c r="I29" t="s">
        <v>9</v>
      </c>
    </row>
    <row r="30" spans="1:9" x14ac:dyDescent="0.25">
      <c r="A30" s="1">
        <v>0.48958333333333331</v>
      </c>
      <c r="B30">
        <v>84</v>
      </c>
      <c r="C30">
        <v>252</v>
      </c>
      <c r="D30">
        <v>792</v>
      </c>
      <c r="E30">
        <v>21</v>
      </c>
      <c r="F30">
        <v>52.82</v>
      </c>
      <c r="G30">
        <f t="shared" ref="G26:G50" si="1">(B30-F30)/B30 *100</f>
        <v>37.11904761904762</v>
      </c>
      <c r="H30">
        <v>250.58</v>
      </c>
      <c r="I30">
        <f t="shared" si="0"/>
        <v>-214.30952380952385</v>
      </c>
    </row>
    <row r="31" spans="1:9" x14ac:dyDescent="0.25">
      <c r="A31" s="1">
        <v>0.49652777777777779</v>
      </c>
      <c r="B31">
        <v>77</v>
      </c>
      <c r="C31">
        <v>227</v>
      </c>
      <c r="D31">
        <v>386</v>
      </c>
      <c r="E31">
        <v>21</v>
      </c>
      <c r="F31">
        <v>46</v>
      </c>
      <c r="G31">
        <f t="shared" si="1"/>
        <v>40.259740259740262</v>
      </c>
      <c r="H31">
        <v>82.63</v>
      </c>
      <c r="I31">
        <f t="shared" si="0"/>
        <v>-30.311688311688314</v>
      </c>
    </row>
    <row r="32" spans="1:9" x14ac:dyDescent="0.25">
      <c r="A32" s="1">
        <v>0.50347222222222221</v>
      </c>
      <c r="B32">
        <v>83</v>
      </c>
      <c r="C32">
        <v>246</v>
      </c>
      <c r="D32">
        <v>430</v>
      </c>
      <c r="E32">
        <v>21</v>
      </c>
      <c r="F32">
        <v>51.26</v>
      </c>
      <c r="G32">
        <f t="shared" si="1"/>
        <v>38.24096385542169</v>
      </c>
      <c r="H32">
        <v>94.82</v>
      </c>
      <c r="I32">
        <f t="shared" si="0"/>
        <v>-31.240963855421683</v>
      </c>
    </row>
    <row r="33" spans="1:9" x14ac:dyDescent="0.25">
      <c r="A33" s="1">
        <v>0.51041666666666663</v>
      </c>
      <c r="B33">
        <v>95</v>
      </c>
      <c r="C33">
        <v>263</v>
      </c>
      <c r="D33">
        <v>426</v>
      </c>
      <c r="E33">
        <v>22</v>
      </c>
      <c r="F33">
        <v>56.12</v>
      </c>
      <c r="G33">
        <f t="shared" si="1"/>
        <v>40.926315789473691</v>
      </c>
      <c r="H33">
        <v>93.55</v>
      </c>
      <c r="I33">
        <f t="shared" si="0"/>
        <v>-3.473684210526315</v>
      </c>
    </row>
    <row r="34" spans="1:9" x14ac:dyDescent="0.25">
      <c r="A34" s="1">
        <v>0.51736111111111116</v>
      </c>
      <c r="B34">
        <v>153</v>
      </c>
      <c r="C34">
        <v>524</v>
      </c>
      <c r="D34">
        <v>558</v>
      </c>
      <c r="E34">
        <v>22</v>
      </c>
      <c r="F34">
        <v>126.4</v>
      </c>
      <c r="G34">
        <f t="shared" si="1"/>
        <v>17.385620915032675</v>
      </c>
      <c r="H34">
        <v>138.9</v>
      </c>
      <c r="I34">
        <f t="shared" si="0"/>
        <v>62.215686274509807</v>
      </c>
    </row>
    <row r="35" spans="1:9" x14ac:dyDescent="0.25">
      <c r="A35" s="1">
        <v>0.52430555555555558</v>
      </c>
      <c r="B35">
        <v>212</v>
      </c>
      <c r="C35">
        <v>782</v>
      </c>
      <c r="D35">
        <v>798</v>
      </c>
      <c r="E35">
        <v>22</v>
      </c>
      <c r="F35">
        <v>245.8</v>
      </c>
      <c r="G35">
        <f t="shared" si="1"/>
        <v>-15.9433962264151</v>
      </c>
      <c r="H35">
        <v>253.32</v>
      </c>
      <c r="I35">
        <f t="shared" si="0"/>
        <v>92.509433962264154</v>
      </c>
    </row>
    <row r="36" spans="1:9" x14ac:dyDescent="0.25">
      <c r="A36" s="1">
        <v>0.53125</v>
      </c>
      <c r="B36">
        <v>143</v>
      </c>
      <c r="C36">
        <v>411</v>
      </c>
      <c r="D36">
        <v>748</v>
      </c>
      <c r="E36">
        <v>22</v>
      </c>
      <c r="F36">
        <v>89.01</v>
      </c>
      <c r="G36">
        <f t="shared" si="1"/>
        <v>37.755244755244746</v>
      </c>
      <c r="H36">
        <v>228.95</v>
      </c>
      <c r="I36">
        <f t="shared" si="0"/>
        <v>-17.104895104895093</v>
      </c>
    </row>
    <row r="37" spans="1:9" x14ac:dyDescent="0.25">
      <c r="A37" s="1">
        <v>0.53819444444444442</v>
      </c>
      <c r="B37">
        <v>193</v>
      </c>
      <c r="C37">
        <v>684</v>
      </c>
      <c r="D37">
        <v>777</v>
      </c>
      <c r="E37">
        <v>22</v>
      </c>
      <c r="F37">
        <v>196.8</v>
      </c>
      <c r="G37">
        <f t="shared" si="1"/>
        <v>-1.9689119170984517</v>
      </c>
      <c r="H37">
        <v>243.42</v>
      </c>
      <c r="I37">
        <f t="shared" si="0"/>
        <v>66.875647668393782</v>
      </c>
    </row>
    <row r="38" spans="1:9" x14ac:dyDescent="0.25">
      <c r="A38" s="1">
        <v>0.54513888888888884</v>
      </c>
      <c r="B38">
        <v>202</v>
      </c>
      <c r="C38">
        <v>720</v>
      </c>
      <c r="D38">
        <v>868</v>
      </c>
      <c r="E38">
        <v>22</v>
      </c>
      <c r="F38">
        <v>215.2</v>
      </c>
      <c r="G38">
        <f t="shared" si="1"/>
        <v>-6.5346534653465298</v>
      </c>
      <c r="H38">
        <v>284.92</v>
      </c>
      <c r="I38">
        <f t="shared" si="0"/>
        <v>60.950495049504923</v>
      </c>
    </row>
    <row r="39" spans="1:9" x14ac:dyDescent="0.25">
      <c r="A39" s="1">
        <v>0.55208333333333304</v>
      </c>
      <c r="B39">
        <v>153</v>
      </c>
      <c r="C39">
        <v>521</v>
      </c>
      <c r="D39">
        <v>696</v>
      </c>
      <c r="E39">
        <v>21</v>
      </c>
      <c r="F39">
        <v>125</v>
      </c>
      <c r="G39">
        <f t="shared" si="1"/>
        <v>18.300653594771241</v>
      </c>
      <c r="H39">
        <v>202.51</v>
      </c>
      <c r="I39">
        <f t="shared" si="0"/>
        <v>20.640522875816998</v>
      </c>
    </row>
    <row r="40" spans="1:9" x14ac:dyDescent="0.25">
      <c r="A40" s="1">
        <v>0.55902777777777801</v>
      </c>
      <c r="B40">
        <v>73</v>
      </c>
      <c r="C40">
        <v>219</v>
      </c>
      <c r="D40">
        <v>606</v>
      </c>
      <c r="E40">
        <v>21</v>
      </c>
      <c r="F40">
        <v>43.83</v>
      </c>
      <c r="G40">
        <f t="shared" si="1"/>
        <v>39.958904109589042</v>
      </c>
      <c r="H40">
        <v>159.97999999999999</v>
      </c>
      <c r="I40">
        <f t="shared" si="0"/>
        <v>-146.15068493150685</v>
      </c>
    </row>
    <row r="41" spans="1:9" x14ac:dyDescent="0.25">
      <c r="A41" s="1">
        <v>0.56597222222222199</v>
      </c>
      <c r="B41">
        <v>122</v>
      </c>
      <c r="C41">
        <v>310</v>
      </c>
      <c r="D41">
        <v>356</v>
      </c>
      <c r="E41">
        <v>21</v>
      </c>
      <c r="F41">
        <v>65.34</v>
      </c>
      <c r="G41">
        <f t="shared" si="1"/>
        <v>46.442622950819668</v>
      </c>
      <c r="H41">
        <v>75.23</v>
      </c>
      <c r="I41">
        <f t="shared" si="0"/>
        <v>60.336065573770483</v>
      </c>
    </row>
    <row r="42" spans="1:9" x14ac:dyDescent="0.25">
      <c r="A42" s="1">
        <v>0.57291666666666696</v>
      </c>
      <c r="B42">
        <v>53</v>
      </c>
      <c r="C42">
        <v>141</v>
      </c>
      <c r="D42">
        <v>410</v>
      </c>
      <c r="E42">
        <v>21</v>
      </c>
      <c r="F42">
        <v>25.26</v>
      </c>
      <c r="G42">
        <f t="shared" si="1"/>
        <v>52.339622641509429</v>
      </c>
      <c r="H42">
        <v>88.92</v>
      </c>
      <c r="I42">
        <f t="shared" si="0"/>
        <v>-114.77358490566039</v>
      </c>
    </row>
    <row r="43" spans="1:9" x14ac:dyDescent="0.25">
      <c r="A43" s="1">
        <v>0.57986111111111105</v>
      </c>
      <c r="B43">
        <v>137</v>
      </c>
      <c r="C43">
        <v>400</v>
      </c>
      <c r="D43">
        <v>676</v>
      </c>
      <c r="E43">
        <v>21</v>
      </c>
      <c r="F43">
        <v>87.02</v>
      </c>
      <c r="G43">
        <f t="shared" si="1"/>
        <v>36.481751824817522</v>
      </c>
      <c r="H43">
        <v>192.66</v>
      </c>
      <c r="I43">
        <f t="shared" si="0"/>
        <v>-3.6277372262773611</v>
      </c>
    </row>
    <row r="44" spans="1:9" x14ac:dyDescent="0.25">
      <c r="A44" s="1">
        <v>0.58680555555555503</v>
      </c>
      <c r="B44">
        <v>181</v>
      </c>
      <c r="C44">
        <v>555</v>
      </c>
      <c r="D44">
        <v>721</v>
      </c>
      <c r="E44">
        <v>21</v>
      </c>
      <c r="F44">
        <v>137.30000000000001</v>
      </c>
      <c r="G44">
        <f t="shared" si="1"/>
        <v>24.143646408839771</v>
      </c>
      <c r="H44">
        <v>214.93</v>
      </c>
      <c r="I44">
        <f t="shared" si="0"/>
        <v>62.254143646408835</v>
      </c>
    </row>
    <row r="45" spans="1:9" x14ac:dyDescent="0.25">
      <c r="A45" s="1">
        <v>0.59375</v>
      </c>
      <c r="B45">
        <v>177</v>
      </c>
      <c r="C45">
        <v>536</v>
      </c>
      <c r="D45">
        <v>802</v>
      </c>
      <c r="E45">
        <v>21</v>
      </c>
      <c r="F45">
        <v>129.9</v>
      </c>
      <c r="G45">
        <f t="shared" si="1"/>
        <v>26.610169491525422</v>
      </c>
      <c r="H45">
        <v>255.05</v>
      </c>
      <c r="I45">
        <f t="shared" si="0"/>
        <v>32.903954802259875</v>
      </c>
    </row>
    <row r="46" spans="1:9" x14ac:dyDescent="0.25">
      <c r="A46" s="1">
        <v>0.60069444444444398</v>
      </c>
      <c r="B46">
        <v>180</v>
      </c>
      <c r="C46">
        <v>553</v>
      </c>
      <c r="D46">
        <v>777</v>
      </c>
      <c r="E46">
        <v>20</v>
      </c>
      <c r="F46">
        <v>136.4</v>
      </c>
      <c r="G46">
        <f t="shared" si="1"/>
        <v>24.222222222222221</v>
      </c>
      <c r="H46">
        <v>243.64</v>
      </c>
      <c r="I46">
        <f t="shared" si="0"/>
        <v>44.644444444444446</v>
      </c>
    </row>
    <row r="47" spans="1:9" x14ac:dyDescent="0.25">
      <c r="A47" s="1">
        <v>0.60763888888888895</v>
      </c>
      <c r="B47">
        <v>162</v>
      </c>
      <c r="C47">
        <v>504</v>
      </c>
      <c r="D47">
        <v>674</v>
      </c>
      <c r="E47">
        <v>20</v>
      </c>
      <c r="F47">
        <v>118.1</v>
      </c>
      <c r="G47">
        <f t="shared" si="1"/>
        <v>27.098765432098769</v>
      </c>
      <c r="H47">
        <v>190.82</v>
      </c>
      <c r="I47">
        <f t="shared" si="0"/>
        <v>44.209876543209887</v>
      </c>
    </row>
    <row r="48" spans="1:9" x14ac:dyDescent="0.25">
      <c r="A48" s="1">
        <v>0.61458333333333304</v>
      </c>
      <c r="B48">
        <v>39</v>
      </c>
      <c r="C48">
        <v>111</v>
      </c>
      <c r="D48">
        <v>663</v>
      </c>
      <c r="E48">
        <v>20</v>
      </c>
      <c r="F48">
        <v>18.87</v>
      </c>
      <c r="G48">
        <f t="shared" si="1"/>
        <v>51.615384615384606</v>
      </c>
      <c r="H48">
        <v>185.98</v>
      </c>
      <c r="I48">
        <f t="shared" si="0"/>
        <v>-437.8717948717948</v>
      </c>
    </row>
    <row r="49" spans="1:9" x14ac:dyDescent="0.25">
      <c r="A49" s="1">
        <v>0.62152777777777701</v>
      </c>
      <c r="B49">
        <v>160</v>
      </c>
      <c r="C49">
        <v>452</v>
      </c>
      <c r="D49">
        <v>696</v>
      </c>
      <c r="E49">
        <v>20</v>
      </c>
      <c r="F49">
        <v>101.3</v>
      </c>
      <c r="G49">
        <f t="shared" si="1"/>
        <v>36.6875</v>
      </c>
      <c r="H49">
        <v>202.06</v>
      </c>
      <c r="I49">
        <f t="shared" si="0"/>
        <v>33.712500000000006</v>
      </c>
    </row>
    <row r="50" spans="1:9" x14ac:dyDescent="0.25">
      <c r="A50" s="1">
        <v>0.62847222222222221</v>
      </c>
      <c r="B50">
        <v>68</v>
      </c>
      <c r="C50">
        <v>198</v>
      </c>
      <c r="D50">
        <v>665</v>
      </c>
      <c r="E50">
        <v>20</v>
      </c>
      <c r="F50">
        <v>38.44</v>
      </c>
      <c r="G50">
        <f t="shared" si="1"/>
        <v>43.470588235294123</v>
      </c>
      <c r="H50">
        <v>186.96</v>
      </c>
      <c r="I50">
        <f t="shared" si="0"/>
        <v>-206.94117647058823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Shasank Adhikari</dc:creator>
  <cp:lastModifiedBy>Pratik Adhikari</cp:lastModifiedBy>
  <dcterms:created xsi:type="dcterms:W3CDTF">2026-03-16T12:06:34Z</dcterms:created>
  <dcterms:modified xsi:type="dcterms:W3CDTF">2026-05-04T16:47:43Z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2026-03-16T12:21:29Z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cfce829e-572b-4022-958a-6478d8a7a45b</vt:lpwstr>
  </property>
  <property fmtid="{D5CDD505-2E9C-101B-9397-08002B2CF9AE}" pid="7" name="MSIP_Label_defa4170-0d19-0005-0004-bc88714345d2_ActionId">
    <vt:lpwstr>9704a6fc-f66a-46d8-8c5c-b21601ac521e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